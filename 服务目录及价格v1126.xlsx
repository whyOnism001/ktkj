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580"/>
  </bookViews>
  <sheets>
    <sheet name="服务目录" sheetId="1" r:id="rId1"/>
    <sheet name="折后价格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lenovo</author>
  </authors>
  <commentList>
    <comment ref="I1" authorId="0">
      <text>
        <r>
          <rPr>
            <b/>
            <sz val="9"/>
            <rFont val="宋体"/>
            <charset val="134"/>
          </rPr>
          <t>lenovo:</t>
        </r>
        <r>
          <rPr>
            <sz val="9"/>
            <rFont val="宋体"/>
            <charset val="134"/>
          </rPr>
          <t xml:space="preserve">
I类服务为开投智云自由服务
II类服务为转售服务</t>
        </r>
      </text>
    </comment>
  </commentList>
</comments>
</file>

<file path=xl/sharedStrings.xml><?xml version="1.0" encoding="utf-8"?>
<sst xmlns="http://schemas.openxmlformats.org/spreadsheetml/2006/main" count="320" uniqueCount="147">
  <si>
    <t>服务类型</t>
  </si>
  <si>
    <t>名称</t>
  </si>
  <si>
    <t>服务描述</t>
  </si>
  <si>
    <t>计价单位</t>
  </si>
  <si>
    <t>服务价（元）</t>
  </si>
  <si>
    <t>折扣比例</t>
  </si>
  <si>
    <t>折后价</t>
  </si>
  <si>
    <t>备注</t>
  </si>
  <si>
    <t>计算服务</t>
  </si>
  <si>
    <t>云主机（vcpu)</t>
  </si>
  <si>
    <t>通过IaaS云平台将物理CPU虚拟成vCPU，为云主机提供算力，同时用户可灵活申请云主机CPU算力资源规格</t>
  </si>
  <si>
    <t>1核/月</t>
  </si>
  <si>
    <t>I</t>
  </si>
  <si>
    <t>云主机（内存）</t>
  </si>
  <si>
    <t>通过IaaS云平台统一内存资池，为云主机提供读写内存资源，同时用户可灵活申请云主机内存资源规格</t>
  </si>
  <si>
    <t>1GB/月</t>
  </si>
  <si>
    <t>容器服务</t>
  </si>
  <si>
    <t>云原生基础设施容器引擎</t>
  </si>
  <si>
    <t>云原生基础设施容器引擎提供了容器编排、调度、部署、弹性伸缩、升级和健康检查等能力，同时提供应用模板管理能力。同时还提供镜像仓库，方便企业对通用软件包以及业务应用镜像进行本地化管理</t>
  </si>
  <si>
    <t>50节点/月</t>
  </si>
  <si>
    <t>该项服务配置可叠加</t>
  </si>
  <si>
    <t>存储服务</t>
  </si>
  <si>
    <t>分布式块存储-高IO-SAS</t>
  </si>
  <si>
    <t>基于分布式存储实现的SAS级块存储，采用纠删码的校验机制，为计算节点提供块存储服务</t>
  </si>
  <si>
    <t>分布式块存储-超高IO-SSD</t>
  </si>
  <si>
    <t>基于分布式存储实现的SSD级块存储，采用纠删码的校验机制，为计算节点提供块存储服务</t>
  </si>
  <si>
    <t>OBS对象存储-T</t>
  </si>
  <si>
    <t>基于分布式存储实现的对象存储，采用纠删码的校验机制，一个基于对象的海量存储服务，为客户提供海量、安全、高可靠、低成本的数据存储能力</t>
  </si>
  <si>
    <t>备份服务</t>
  </si>
  <si>
    <t>云硬盘快照</t>
  </si>
  <si>
    <t>用户可以基于快照创建新的云硬盘，这样云硬盘在初始状态就具有快照中的数据，是原始云硬盘的精确副本，通过快照创建的云硬盘不需要再进行分区、格式化及创建文件系统等操作，挂载到实例后就可以正常读写快照上的所有数据。</t>
  </si>
  <si>
    <t>备份</t>
  </si>
  <si>
    <t xml:space="preserve">为用户提供数据库、文件、应用以及虚拟机等数据的定时备份服务，通过备份策略实现文件、操作系统、数据库的本地备份 </t>
  </si>
  <si>
    <t>安全服务</t>
  </si>
  <si>
    <t>主机安全服务</t>
  </si>
  <si>
    <t xml:space="preserve">提升主机整体安全性的服务，通过主机管理、风险预防、入侵检测、高级防御、安全运营功能，全面识别并管理主机中的信息资产，实时监测主机中的风险并阻止非法入侵行为，帮助企业构建服务器安全体系，降低当前服务器面临的主要安全风险 </t>
  </si>
  <si>
    <t>1套/月</t>
  </si>
  <si>
    <t>1套为1个云主机，云平台统一管控</t>
  </si>
  <si>
    <t>Web应用防火墙服务-100Mbps</t>
  </si>
  <si>
    <t>HTTP协议流量：≤100Mbps；以虚拟化镜像形式本地部署的Web防护系统，可以对租户的网站进行SQL注入、跨站脚本（OWASP TOP10）攻击进行防护，提供7*24小时可用性监测、内容检测、挂马监测、敏感词监测、暗链监测、脆弱性监测、防CC攻击，发现安全事件及时告警，实时展示监测网站安全状况。
可支持标准的80端口、443端口以及其他非标准端口防护。
可叠加使用，且最高可扩容至500Mbs，支持IPv6访问流量的安全检测与防护，支持自定义高频Web攻击封禁、目录遍历封禁规则，支持自定义防护策略，支持自定义防护规则组，总域名数最高可设置2000，可支持最高10000QPS。</t>
  </si>
  <si>
    <t>云防火墙-1GB吞吐量</t>
  </si>
  <si>
    <t>EgeFW（Edge Firewall），即边界防火墙，位于内、外部网络的边界处，是连接内网与外网的桥梁。边界防火墙针对云数据中心与外部网络之间的南北向流量，为用户提供边界安全防护功能，支持以弹性IP为防护对象的入侵检测防御（IPS）和网络防病毒（AV）功能，虚机弹性IP的流量必须流经该硬件防火墙才能被本服务保护</t>
  </si>
  <si>
    <t>数据库审计服务-数据库实例</t>
  </si>
  <si>
    <t>细粒度审计数据库操作的行为和操作内容，提供丰富的查询统计条件，多维度展示查询统计结果，按实例计算，需支持租户自主进行审计管理及报告生成导出功能</t>
  </si>
  <si>
    <t>1套为1个数据库实例</t>
  </si>
  <si>
    <t>云堡垒机服务-10资产数</t>
  </si>
  <si>
    <t>集统一账户管理、角色授权、实时监控、运维安全管理 提供身份认证和权限管理功能，可以管理用户（比如员工、系统或应用程序）账号，并且可以控制这些用户对您名下资源的操作权限，需支持VPC内租户自主管理堡垒机、自定义账号、设备权限；支持以按用户及用户组方式配置双因子认证功能</t>
  </si>
  <si>
    <t>1套为1个资产，1个资产为1个应用服务</t>
  </si>
  <si>
    <t>网页防篡改服务</t>
  </si>
  <si>
    <t>采用系统底层文件过滤驱动技术，拦截与分析文件增、删、改操作，实现对网页文件的完整性检查和保护；支持租户对策略、规则进行自定义配置，提供报告生成导出功能</t>
  </si>
  <si>
    <t>1套为1个主机</t>
  </si>
  <si>
    <t>漏洞扫描服务-1IP数量</t>
  </si>
  <si>
    <t>集Web漏洞扫描、操作系统漏洞扫描、数据库漏洞扫描、资产内容合规检测、配置基线扫描、弱密码检测五大核心功能，自动发现网站或服务器在网络中的安全风险，为云上业务提供多维度的安全检测服务，让安全弱点无所遁形，形成最终扫描结果清单，支持租户自主扫面和漏洞信息管理，并输出相关报告提供导出功能</t>
  </si>
  <si>
    <t>DDoS流量清洗</t>
  </si>
  <si>
    <t>针对不同种类的DDoS攻击采用不同的算法识别，从而准确地区分出恶意DDoS报文，高效防护各类DDoS攻击，且针对应用层进行精细化防护，更有URL精细化防护，精准定位受攻击业务，精确区分源流量，拆分APP和PC流量差异化防护</t>
  </si>
  <si>
    <t>10M/月</t>
  </si>
  <si>
    <t>综合日志审计服务-1日志源</t>
  </si>
  <si>
    <t>作为信息系统的综合管理平台，通过对租户ECS主机、业务应用以及第三方在镜像市场上线的各种业务系统的日志进行全面的标准化处理，及时发现各种安全威胁、异常行为事件，为管理人员提供全局的视角，确保客户业务的不间断运营。日志存储量3T。</t>
  </si>
  <si>
    <t>互联网应用云安全监测</t>
  </si>
  <si>
    <t>针对互联网业务应用开展危险端口监测、异常暗链接监测、图像内容监测、文本内容监测、WEB应用漏洞监测、网站可用性监测，24小时的安全事件监测验证和安全事件通告</t>
  </si>
  <si>
    <t>1个系统/月</t>
  </si>
  <si>
    <t>网关服务</t>
  </si>
  <si>
    <t>NAT网关（小型）</t>
  </si>
  <si>
    <t>为VPC内的计算实例提供网络地址转换服务，使多个弹性云服务器ECS等实例可以共享NAT中的带宽，支持SNAT、DNAT服务</t>
  </si>
  <si>
    <t>VPN网关</t>
  </si>
  <si>
    <t>零信任防火墙用于解决远程互联网vpn接入与业务发布，防护模式为持续验证、永不信任，可以实现用户可信身份认证、接入终端安全检查、链路安全加密等功能</t>
  </si>
  <si>
    <t>1并发/月</t>
  </si>
  <si>
    <t>分布式缓存服务（Redis）</t>
  </si>
  <si>
    <t>主备版</t>
  </si>
  <si>
    <t>Redis是一种支持Key-Value等多种数据结构的存储系统，可用于缓存、事件发布或订阅、高速队列等应用场景。主备节点的数据通过实时复制保持一致，当主节点故障后，备节点自动升级为主节点 用户可通过读写分离技术，在主节点上写，从备节点读，从而提升缓存的整体读写能力</t>
  </si>
  <si>
    <t>主、备需各开1个相同实例，该项服务配置可叠加</t>
  </si>
  <si>
    <t>集群版</t>
  </si>
  <si>
    <t>Redis是一种支持Key-Value等多种数据结构的存储系统，可用于缓存、事件发布或订阅、高速队列等应用场景。通过条带化分区来增加缓存的容量和并发连接数，每个条带包含一个主节点和0到多个备节点，条带本身对外不可见。条带中主节点故障后，同一条带中备节点会升级为主节点来继续提供服务 用户可通过读写分离技术，在主节点上写，从备节点读，从而提升缓存的整体读写能力</t>
  </si>
  <si>
    <t>数据库服务</t>
  </si>
  <si>
    <t>企业级分布式关系型数据库-4核16G</t>
  </si>
  <si>
    <t>提供国产化主流数据库，具备高吞吐强一致性事务处理能力、高可用能力、分布式高扩展能力、大数据高性能查询能力</t>
  </si>
  <si>
    <t>自研分布式 NewSQL 数据库-标准版</t>
  </si>
  <si>
    <t>自研分布式 NewSQL 数据库是基于国产自主研发的高性能数据库平台，融合传统关系型数据库的事务一致性与分布式系统的高扩展架构。系统采用计算与存储分离设计，结合多副本一致性协议。提供国产化主流数据库，具备高吞吐强一致性事务处理能力、高可用能力、分布式高扩展能力、大数据高性能查询能力。
标准版面向一般业务系统，提供稳定可靠、性能与成本兼顾的数据库服务。采用读写分离架构与基于内存计算的事务处理，支持行列混合存储结构，具备良好的可扩展性与便捷的运维能力，可根据业务需求动态调整资源，适用于部门级、项目级及业务支撑类系统等需要共享集群资源的场景。</t>
  </si>
  <si>
    <r>
      <rPr>
        <sz val="11"/>
        <rFont val="仿宋"/>
        <charset val="134"/>
      </rPr>
      <t>1</t>
    </r>
    <r>
      <rPr>
        <sz val="12"/>
        <color rgb="FF000000"/>
        <rFont val="等线"/>
        <charset val="134"/>
        <scheme val="minor"/>
      </rPr>
      <t>套</t>
    </r>
    <r>
      <rPr>
        <sz val="12"/>
        <color rgb="FF000000"/>
        <rFont val="等线"/>
        <charset val="134"/>
        <scheme val="minor"/>
      </rPr>
      <t>/</t>
    </r>
    <r>
      <rPr>
        <sz val="12"/>
        <color rgb="FF000000"/>
        <rFont val="等线"/>
        <charset val="134"/>
        <scheme val="minor"/>
      </rPr>
      <t>月</t>
    </r>
  </si>
  <si>
    <t>自研分布式 NewSQL 数据库-高性能版</t>
  </si>
  <si>
    <t>自研分布式 NewSQL 数据库是基于国产自主研发的高性能数据库平台，融合传统关系型数据库的事务一致性与分布式系统的高扩展架构。系统采用计算与存储分离设计，结合多副本一致性协议。提供国产化主流数据库，具备高吞吐强一致性事务处理能力、高可用能力、分布式高扩展能力、大数据高性能查询能力。
高性能版面向高并发、低延迟的关键业务系统，采用独立三节点集群部署，资源专属、性能最优。通过分布式事务优化与局部化调度机制，实现高性能事务处理与低延迟响应；多副本同步复制确保强一致与自动容灾。适用于高并发交易处理及对性能和可靠性要求极高的核心业务场景。</t>
  </si>
  <si>
    <t>DaaS服务</t>
  </si>
  <si>
    <t>大数据基础服务-Flume</t>
  </si>
  <si>
    <t>Flume：是一个高可用的，高可靠的，分布式的海量日志采集、聚合和传输的系统，Flume支持在日志系统中定制各类数据发送方，用于收集数据；同时提供对数据进行简单处理，并写到各种数据接受方（可定制）的能力</t>
  </si>
  <si>
    <t>1次/月</t>
  </si>
  <si>
    <t>按访问次数</t>
  </si>
  <si>
    <t>大数据基础服务-Redis</t>
  </si>
  <si>
    <t>Redis（REmote DIctionary Service）：是C语言编写的高性能Key-Value内存数据库，支持多种数据类型，包括 string（字符串）、 list（链表）、 set（集合）、 zset（有序集合）、hash等 Redis集群模式具有更多优点，适合生产环境使用，Redis具备集群管理功能</t>
  </si>
  <si>
    <t>每6个实例，每个集群至少N*6个实例，N=1,2,3,…</t>
  </si>
  <si>
    <t>大数据基础服务-(Hive+ Spark+Hetu+Flink+Mapreduce+TEZ）</t>
  </si>
  <si>
    <t>Hive：Hive 是基于 Hadoop 的数据仓库工具。它可以将结构化的数据文件映射为数据库表，并提供类 SQL 查询功能，方便进行大数据分析。
Spark：提供快速、通用的大数据计算框架。支持多种计算模式，如批处理、流处理、机器学习等。
Flink：分布式流处理和批处理框架。可以高效地处理实时和离线数据，具有高吞吐、低延迟的特点。
HetuEngine：是分布式高性能的计算引擎，能够支持多种数据源的快速联合查询，尤其适用于Hadoop集群的Hive、Spark数据源的交互式快速查询场景。 
MapReduce：是Hadoop的核心，处理大规模数据集的编程模型。将任务分为 Map（映射）和 Reduce（归约）两个阶段进行数据处理。常用于大规模日志分析、数据挖掘等，如分析网站访问日志以了解用户行为。
Tez：通用的 DAG（有向无环图）计算框架。它优化了数据处理流程，提高了大数据处理的效率。在 Hive 和 Pig 等数据仓库工具中，加速复杂的查询和数据分析任务。</t>
  </si>
  <si>
    <t>每24vCPU</t>
  </si>
  <si>
    <t>大数据基础服务-Kafka</t>
  </si>
  <si>
    <t xml:space="preserve">Kafka：是一个分布式的、分区的、多副本的消息发布-订阅系统，它提供了类似于JMS的特性，但在设计上完全不同，它具有消息持久化、高吞吐、分布式、多客户端支持、实时等特性，适用于离线和在线的消息消费，如常规的消息收集、网站活性跟踪、聚合统计系统运营数据（监控数据）、日志收集等大量数据的互联网服务的数据收集场景。 </t>
  </si>
  <si>
    <t>DWS数据仓库服务</t>
  </si>
  <si>
    <t>GaussDB(DWS)是企业级的大规模并行处理关系型数据库 其采用MPP（Massive Parallel Processing）架构，支持行存储与列存储，提供PB级别数据量的处理能力 GaussDB(DWS)在核心技术上跟传统数据库相比有巨大优势，可以解决很多用户的数据处理性能问题，可以为超大规模数据管理提供高性价比的通用计算平台，并可用于支撑各类数据仓库系统、BI（Business Intelligence）系统和决策支持系统，统一为上层应用的决策分析等提供服务</t>
  </si>
  <si>
    <t>数据治理工具服务-每5 API数</t>
  </si>
  <si>
    <t>数据治理中心DataArts Studio服务是具有数据全生命周期管理、智能数据管理能力的一站式治理运营平台，支持行业知识库智能化建设，支持大数据存储、大数据计算分析引擎等数据底座，帮助企业快速构建从数据接入到数据分析的端到端智能数据系统，消除数据孤岛，统一数据标准，加快数据变现，实现数字化转型</t>
  </si>
  <si>
    <t>数据治理工具服务-每100 任务数</t>
  </si>
  <si>
    <t>数据治理工具服务-每200 资产数</t>
  </si>
  <si>
    <t>视频服务</t>
  </si>
  <si>
    <t>平台接入服务</t>
  </si>
  <si>
    <t>通过平台接入服务可使用平台算法应用、平台存储和视频平台功能</t>
  </si>
  <si>
    <t>1路/月</t>
  </si>
  <si>
    <t>AI算法—高阶分析算法服务</t>
  </si>
  <si>
    <t>视频数据基于复杂模式的识别、高级运动分析、深度学习模型的应用，如视频检索、行为事件智能分析</t>
  </si>
  <si>
    <t>AI算法—基础分析算法服务</t>
  </si>
  <si>
    <t>视频数据的基础处理和分析，用于图像的预处理、基本视觉特征的提取，如目标检测、识别、跟踪等基础分析</t>
  </si>
  <si>
    <t>SaaS服务</t>
  </si>
  <si>
    <t>身份识别与访问控制系统接入及年度订阅</t>
  </si>
  <si>
    <t>身份管理服务：
集中存储用户信息，统一管理各应用系统的账号。重点管理内部用户、供应商、外部人员和合作伙伴的身份，确保用户数据集中、精准、安全，避免私建、僵尸和离职账号带来的安全风险。
访问控制服务：
为 Web、移动和 PC 端等多渠道登录提供多种认证方式及组合，打造统一安全认证服务平台。提供一体化权限治理工具，简化授权流程，强化管控和治理体系，优化应用系统的效率、体验和安全性。
提供对内门户应用集成支持，包括应用系统集成配置，流程及消息打通，部署和配置安全网关，以实现门户内业务应用的安全、可控访问及统一管理。</t>
  </si>
  <si>
    <t>1套/年</t>
  </si>
  <si>
    <t>对内门户用户授权</t>
  </si>
  <si>
    <t>云上开投”是围绕集团数字化转型“1262”总体架构所建设的集团对内门户，通过整合各类管理及业务系统、融合办公能力、汇聚办公数据，系统访问与管理，支持集团及所属企业办公协同、流程串联与信息互通。支持PC和移动端对端协作。
按年度为用户提供系统使用授权，涵盖账户管理、权限分配认证，确保合法、安全访问；在授权期内提供全程技术支持与响应服务，包括操作指导、问题排查和功能咨询，助力员工顺畅使用门户各项功能。</t>
  </si>
  <si>
    <t>1个/年</t>
  </si>
  <si>
    <t>该项服务不参与折扣</t>
  </si>
  <si>
    <t>企业云盘</t>
  </si>
  <si>
    <t>1.提供集中存储服务，对员工散落的数据集中存储,并记录文案变更内容，版本可随时回溯。
2.提供共享协作服务，包括内部文件依据权限共享，外部文件通过外链分享；支持文件上传下载及文件速传；员工离职一键交接文件；多终端多平台支持，随时随地访问数据。
3.提供数据安全保护，对数据存储层加密，私有云或本地化存储；数据传输加密，文档细粒度权限控制；支持数据存储三副本策略，数据误删恢复机制。
每个用户含100GB存储容量，100GB以外存储容量扩容1元/GB/年。</t>
  </si>
  <si>
    <t>每用户/年</t>
  </si>
  <si>
    <t>网络服务</t>
  </si>
  <si>
    <t>公网IP</t>
  </si>
  <si>
    <t>基于互联网上的静态IP地址，将弹性IP地址和子网中关联的云服务器绑定和解绑，可以实现专有网络VPC中的云服务器通过公网IP地址与互联网互通</t>
  </si>
  <si>
    <t>1个/月</t>
  </si>
  <si>
    <t>II</t>
  </si>
  <si>
    <t>互联网带宽≤5M</t>
  </si>
  <si>
    <t>互联网带宽</t>
  </si>
  <si>
    <t>M/月</t>
  </si>
  <si>
    <t>互联网带宽5M-10M</t>
  </si>
  <si>
    <t>互联网带宽≥10M</t>
  </si>
  <si>
    <t>运维服务</t>
  </si>
  <si>
    <t>风险验证与协同处置
（漏洞管理、渗透测试、网络安全意识培训）</t>
  </si>
  <si>
    <t>基于漏洞扫描结果与各类型安全防护措施告警信息，通过人工渗透等方式进行具体漏洞和风险信息验证和测试以及管理，梳理漏洞扫描结果与各类风险预警信息，分析评估漏洞影响程度和整改优先级，提供整改建议和咨询，同时提供整改操作手册和相关技术、意识培训，配合开展漏洞风险整改，跟踪整改进度，验证及记录整改结果。标准服务1年含5次。</t>
  </si>
  <si>
    <t>套/年</t>
  </si>
  <si>
    <t>应急演练</t>
  </si>
  <si>
    <t>以客户现有的安全事件应急预案为基础，根据安全事件应急演练相关标准，协助客户编写安全事件的演练方案、剧本及相关输出物，并在演练实施过程中提供技术支持，帮助客户验证预案的有效性，锻炼技术人员的安全事件处置能力</t>
  </si>
  <si>
    <t>次</t>
  </si>
  <si>
    <t>重保驻场值守</t>
  </si>
  <si>
    <t>重要保障时期（护网）派遣工程师24小时驻场值守，开展威胁监测、攻击阻断、应急处置、每日工作汇报、重保总结等工作（包含专人值守7天）</t>
  </si>
  <si>
    <t>序号</t>
  </si>
  <si>
    <t>资源类别</t>
  </si>
  <si>
    <t>应用服务器中间件</t>
  </si>
  <si>
    <t>负载均衡中间件</t>
  </si>
  <si>
    <t>分布式缓存中间件</t>
  </si>
  <si>
    <t>消息中间件</t>
  </si>
  <si>
    <t>身份识别与访问控制（系统接入）</t>
  </si>
  <si>
    <t>1套</t>
  </si>
  <si>
    <t>身份识别与访问控制（年度订阅）</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</si>
</sst>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8">
    <font>
      <sz val="11"/>
      <color theme="1"/>
      <name val="等线"/>
      <charset val="134"/>
      <scheme val="minor"/>
    </font>
    <font>
      <sz val="11"/>
      <color theme="1"/>
      <name val="Microsoft YaHei Light"/>
      <charset val="134"/>
    </font>
    <font>
      <sz val="11"/>
      <name val="仿宋"/>
      <charset val="134"/>
    </font>
    <font>
      <b/>
      <sz val="11"/>
      <color theme="1"/>
      <name val="Microsoft YaHei Light"/>
      <charset val="134"/>
    </font>
    <font>
      <sz val="11"/>
      <name val="Microsoft YaHei Light"/>
      <charset val="134"/>
    </font>
    <font>
      <sz val="11"/>
      <color rgb="FFFF0000"/>
      <name val="仿宋"/>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000000"/>
      <name val="等线"/>
      <charset val="134"/>
      <scheme val="minor"/>
    </font>
    <font>
      <sz val="9"/>
      <name val="宋体"/>
      <charset val="134"/>
    </font>
    <font>
      <b/>
      <sz val="9"/>
      <name val="宋体"/>
      <charset val="134"/>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6"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7" applyNumberFormat="0" applyFill="0" applyAlignment="0" applyProtection="0">
      <alignment vertical="center"/>
    </xf>
    <xf numFmtId="0" fontId="12" fillId="0" borderId="7" applyNumberFormat="0" applyFill="0" applyAlignment="0" applyProtection="0">
      <alignment vertical="center"/>
    </xf>
    <xf numFmtId="0" fontId="13" fillId="0" borderId="8" applyNumberFormat="0" applyFill="0" applyAlignment="0" applyProtection="0">
      <alignment vertical="center"/>
    </xf>
    <xf numFmtId="0" fontId="13" fillId="0" borderId="0" applyNumberFormat="0" applyFill="0" applyBorder="0" applyAlignment="0" applyProtection="0">
      <alignment vertical="center"/>
    </xf>
    <xf numFmtId="0" fontId="14" fillId="4" borderId="9" applyNumberFormat="0" applyAlignment="0" applyProtection="0">
      <alignment vertical="center"/>
    </xf>
    <xf numFmtId="0" fontId="15" fillId="5" borderId="10" applyNumberFormat="0" applyAlignment="0" applyProtection="0">
      <alignment vertical="center"/>
    </xf>
    <xf numFmtId="0" fontId="16" fillId="5" borderId="9" applyNumberFormat="0" applyAlignment="0" applyProtection="0">
      <alignment vertical="center"/>
    </xf>
    <xf numFmtId="0" fontId="17" fillId="6" borderId="11" applyNumberFormat="0" applyAlignment="0" applyProtection="0">
      <alignment vertical="center"/>
    </xf>
    <xf numFmtId="0" fontId="18" fillId="0" borderId="12" applyNumberFormat="0" applyFill="0" applyAlignment="0" applyProtection="0">
      <alignment vertical="center"/>
    </xf>
    <xf numFmtId="0" fontId="19" fillId="0" borderId="13"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44">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0" xfId="0" applyFont="1">
      <alignment vertical="center"/>
    </xf>
    <xf numFmtId="0" fontId="2" fillId="0" borderId="0" xfId="0" applyFont="1" applyFill="1">
      <alignment vertical="center"/>
    </xf>
    <xf numFmtId="0" fontId="2" fillId="0" borderId="0" xfId="0" applyFont="1" applyFill="1" applyAlignment="1">
      <alignment vertical="center"/>
    </xf>
    <xf numFmtId="0" fontId="2" fillId="0" borderId="0" xfId="0" applyFont="1" applyAlignment="1">
      <alignment vertical="center"/>
    </xf>
    <xf numFmtId="0" fontId="2" fillId="0" borderId="0"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Fill="1" applyBorder="1" applyAlignment="1">
      <alignment horizontal="center" vertical="center"/>
    </xf>
    <xf numFmtId="0" fontId="2" fillId="0" borderId="1" xfId="0" applyFont="1" applyFill="1" applyBorder="1" applyAlignment="1">
      <alignment vertical="center"/>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Border="1" applyAlignment="1">
      <alignment horizontal="justify" vertical="center"/>
    </xf>
    <xf numFmtId="0" fontId="2" fillId="0" borderId="1" xfId="0" applyFont="1" applyFill="1" applyBorder="1" applyAlignment="1">
      <alignment horizontal="justify"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Fill="1" applyBorder="1" applyAlignment="1">
      <alignment vertical="center" wrapText="1"/>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xf numFmtId="0" fontId="2" fillId="2" borderId="5" xfId="0" applyFont="1" applyFill="1" applyBorder="1" applyAlignment="1">
      <alignment horizontal="center" vertical="center" wrapText="1"/>
    </xf>
    <xf numFmtId="9" fontId="2" fillId="0" borderId="1" xfId="0" applyNumberFormat="1" applyFont="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5" xfId="0" applyFont="1" applyFill="1" applyBorder="1" applyAlignment="1">
      <alignment horizontal="center" vertical="center"/>
    </xf>
    <xf numFmtId="176" fontId="2" fillId="0" borderId="1" xfId="0" applyNumberFormat="1" applyFont="1" applyBorder="1" applyAlignment="1">
      <alignment horizontal="center" vertical="center" wrapText="1"/>
    </xf>
    <xf numFmtId="0" fontId="2" fillId="0" borderId="5" xfId="0" applyFont="1" applyBorder="1" applyAlignment="1">
      <alignment horizontal="left" vertical="center" wrapText="1"/>
    </xf>
    <xf numFmtId="0" fontId="5" fillId="0" borderId="1" xfId="0" applyFont="1" applyBorder="1" applyAlignment="1">
      <alignment horizontal="center" vertical="center" wrapText="1"/>
    </xf>
    <xf numFmtId="9" fontId="5" fillId="0" borderId="1" xfId="0" applyNumberFormat="1" applyFont="1" applyBorder="1" applyAlignment="1">
      <alignment horizontal="center" vertical="center" wrapText="1"/>
    </xf>
    <xf numFmtId="0" fontId="5" fillId="0" borderId="5" xfId="0" applyFont="1" applyBorder="1" applyAlignment="1">
      <alignment horizontal="center" vertical="center"/>
    </xf>
    <xf numFmtId="0" fontId="2" fillId="0" borderId="0" xfId="0" applyFont="1" applyAlignment="1">
      <alignment vertical="center" wrapText="1"/>
    </xf>
    <xf numFmtId="0" fontId="2"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7"/>
  <sheetViews>
    <sheetView tabSelected="1" zoomScale="115" zoomScaleNormal="115" workbookViewId="0">
      <pane ySplit="1" topLeftCell="A37" activePane="bottomLeft" state="frozen"/>
      <selection/>
      <selection pane="bottomLeft" activeCell="J40" sqref="J40"/>
    </sheetView>
  </sheetViews>
  <sheetFormatPr defaultColWidth="9.25225225225225" defaultRowHeight="14.55"/>
  <cols>
    <col min="1" max="1" width="10.2522522522523" style="2" customWidth="1"/>
    <col min="2" max="2" width="32.2522522522523" style="10" customWidth="1"/>
    <col min="3" max="3" width="58.7477477477477" style="7" customWidth="1"/>
    <col min="4" max="4" width="10.2522522522523" style="2" customWidth="1"/>
    <col min="5" max="5" width="15.3783783783784" style="2" customWidth="1"/>
    <col min="6" max="6" width="10.2522522522523" style="2" customWidth="1"/>
    <col min="7" max="7" width="8.12612612612613" style="2" customWidth="1"/>
    <col min="8" max="8" width="20.1261261261261" style="2" customWidth="1"/>
    <col min="9" max="9" width="20.1261261261261" style="11" customWidth="1"/>
    <col min="10" max="11" width="13.3783783783784" style="7" customWidth="1"/>
    <col min="12" max="16384" width="9.25225225225225" style="7"/>
  </cols>
  <sheetData>
    <row r="1" spans="1:9">
      <c r="A1" s="12" t="s">
        <v>0</v>
      </c>
      <c r="B1" s="13" t="s">
        <v>1</v>
      </c>
      <c r="C1" s="12" t="s">
        <v>2</v>
      </c>
      <c r="D1" s="12" t="s">
        <v>3</v>
      </c>
      <c r="E1" s="12" t="s">
        <v>4</v>
      </c>
      <c r="F1" s="12" t="s">
        <v>5</v>
      </c>
      <c r="G1" s="12" t="s">
        <v>6</v>
      </c>
      <c r="H1" s="32" t="s">
        <v>7</v>
      </c>
      <c r="I1" s="12" t="s">
        <v>0</v>
      </c>
    </row>
    <row r="2" ht="29.15" spans="1:9">
      <c r="A2" s="14" t="s">
        <v>8</v>
      </c>
      <c r="B2" s="15" t="s">
        <v>9</v>
      </c>
      <c r="C2" s="16" t="s">
        <v>10</v>
      </c>
      <c r="D2" s="17" t="s">
        <v>11</v>
      </c>
      <c r="E2" s="17">
        <v>30</v>
      </c>
      <c r="F2" s="33">
        <v>0.85</v>
      </c>
      <c r="G2" s="17">
        <f t="shared" ref="G2:G26" si="0">E2*F2</f>
        <v>25.5</v>
      </c>
      <c r="H2" s="34"/>
      <c r="I2" s="14" t="s">
        <v>12</v>
      </c>
    </row>
    <row r="3" ht="29.15" spans="1:9">
      <c r="A3" s="14" t="s">
        <v>8</v>
      </c>
      <c r="B3" s="15" t="s">
        <v>13</v>
      </c>
      <c r="C3" s="18" t="s">
        <v>14</v>
      </c>
      <c r="D3" s="17" t="s">
        <v>15</v>
      </c>
      <c r="E3" s="17">
        <v>19.5</v>
      </c>
      <c r="F3" s="33">
        <v>0.85</v>
      </c>
      <c r="G3" s="17">
        <f t="shared" si="0"/>
        <v>16.575</v>
      </c>
      <c r="H3" s="34"/>
      <c r="I3" s="14" t="s">
        <v>12</v>
      </c>
    </row>
    <row r="4" s="7" customFormat="1" ht="58.3" spans="1:11">
      <c r="A4" s="14" t="s">
        <v>16</v>
      </c>
      <c r="B4" s="15" t="s">
        <v>17</v>
      </c>
      <c r="C4" s="18" t="s">
        <v>18</v>
      </c>
      <c r="D4" s="17" t="s">
        <v>19</v>
      </c>
      <c r="E4" s="17">
        <v>546</v>
      </c>
      <c r="F4" s="33">
        <v>0.85</v>
      </c>
      <c r="G4" s="17">
        <f t="shared" si="0"/>
        <v>464.1</v>
      </c>
      <c r="H4" s="35" t="s">
        <v>20</v>
      </c>
      <c r="I4" s="14" t="s">
        <v>12</v>
      </c>
      <c r="J4" s="42"/>
      <c r="K4" s="42"/>
    </row>
    <row r="5" ht="29.15" spans="1:9">
      <c r="A5" s="14" t="s">
        <v>21</v>
      </c>
      <c r="B5" s="15" t="s">
        <v>22</v>
      </c>
      <c r="C5" s="18" t="s">
        <v>23</v>
      </c>
      <c r="D5" s="17" t="s">
        <v>15</v>
      </c>
      <c r="E5" s="17">
        <v>0.3</v>
      </c>
      <c r="F5" s="33">
        <v>0.85</v>
      </c>
      <c r="G5" s="17">
        <f t="shared" si="0"/>
        <v>0.255</v>
      </c>
      <c r="H5" s="34"/>
      <c r="I5" s="14" t="s">
        <v>12</v>
      </c>
    </row>
    <row r="6" ht="29.15" spans="1:9">
      <c r="A6" s="14"/>
      <c r="B6" s="15" t="s">
        <v>24</v>
      </c>
      <c r="C6" s="18" t="s">
        <v>25</v>
      </c>
      <c r="D6" s="17" t="s">
        <v>15</v>
      </c>
      <c r="E6" s="17">
        <v>1.2</v>
      </c>
      <c r="F6" s="33">
        <v>0.85</v>
      </c>
      <c r="G6" s="17">
        <f t="shared" si="0"/>
        <v>1.02</v>
      </c>
      <c r="H6" s="34"/>
      <c r="I6" s="14" t="s">
        <v>12</v>
      </c>
    </row>
    <row r="7" ht="43.7" spans="1:9">
      <c r="A7" s="14"/>
      <c r="B7" s="15" t="s">
        <v>26</v>
      </c>
      <c r="C7" s="18" t="s">
        <v>27</v>
      </c>
      <c r="D7" s="17" t="s">
        <v>15</v>
      </c>
      <c r="E7" s="17">
        <v>0.09</v>
      </c>
      <c r="F7" s="33">
        <v>0.85</v>
      </c>
      <c r="G7" s="17">
        <f t="shared" si="0"/>
        <v>0.0765</v>
      </c>
      <c r="H7" s="34"/>
      <c r="I7" s="14" t="s">
        <v>12</v>
      </c>
    </row>
    <row r="8" s="8" customFormat="1" ht="58.3" spans="1:11">
      <c r="A8" s="19" t="s">
        <v>28</v>
      </c>
      <c r="B8" s="20" t="s">
        <v>29</v>
      </c>
      <c r="C8" s="21" t="s">
        <v>30</v>
      </c>
      <c r="D8" s="22" t="s">
        <v>15</v>
      </c>
      <c r="E8" s="22">
        <v>0.32</v>
      </c>
      <c r="F8" s="33">
        <v>0.85</v>
      </c>
      <c r="G8" s="17">
        <f t="shared" si="0"/>
        <v>0.272</v>
      </c>
      <c r="H8" s="36"/>
      <c r="I8" s="14" t="s">
        <v>12</v>
      </c>
      <c r="J8" s="43"/>
      <c r="K8" s="43"/>
    </row>
    <row r="9" s="7" customFormat="1" ht="29.15" spans="1:9">
      <c r="A9" s="19"/>
      <c r="B9" s="20" t="s">
        <v>31</v>
      </c>
      <c r="C9" s="21" t="s">
        <v>32</v>
      </c>
      <c r="D9" s="22" t="s">
        <v>15</v>
      </c>
      <c r="E9" s="22">
        <v>0.32</v>
      </c>
      <c r="F9" s="33">
        <v>0.85</v>
      </c>
      <c r="G9" s="17">
        <f t="shared" si="0"/>
        <v>0.272</v>
      </c>
      <c r="H9" s="34"/>
      <c r="I9" s="14" t="s">
        <v>12</v>
      </c>
    </row>
    <row r="10" ht="58.3" spans="1:11">
      <c r="A10" s="14" t="s">
        <v>33</v>
      </c>
      <c r="B10" s="15" t="s">
        <v>34</v>
      </c>
      <c r="C10" s="18" t="s">
        <v>35</v>
      </c>
      <c r="D10" s="17" t="s">
        <v>36</v>
      </c>
      <c r="E10" s="17">
        <v>112.5</v>
      </c>
      <c r="F10" s="33">
        <v>0.85</v>
      </c>
      <c r="G10" s="17">
        <f t="shared" si="0"/>
        <v>95.625</v>
      </c>
      <c r="H10" s="35" t="s">
        <v>37</v>
      </c>
      <c r="I10" s="14" t="s">
        <v>12</v>
      </c>
      <c r="K10" s="42"/>
    </row>
    <row r="11" ht="145.7" spans="1:9">
      <c r="A11" s="14"/>
      <c r="B11" s="15" t="s">
        <v>38</v>
      </c>
      <c r="C11" s="18" t="s">
        <v>39</v>
      </c>
      <c r="D11" s="17" t="s">
        <v>36</v>
      </c>
      <c r="E11" s="17">
        <v>3450</v>
      </c>
      <c r="F11" s="33">
        <v>0.85</v>
      </c>
      <c r="G11" s="17">
        <f t="shared" si="0"/>
        <v>2932.5</v>
      </c>
      <c r="H11" s="34"/>
      <c r="I11" s="14" t="s">
        <v>12</v>
      </c>
    </row>
    <row r="12" s="7" customFormat="1" ht="87.45" spans="1:9">
      <c r="A12" s="14"/>
      <c r="B12" s="15" t="s">
        <v>40</v>
      </c>
      <c r="C12" s="18" t="s">
        <v>41</v>
      </c>
      <c r="D12" s="17" t="s">
        <v>36</v>
      </c>
      <c r="E12" s="17">
        <v>2800</v>
      </c>
      <c r="F12" s="33">
        <v>0.85</v>
      </c>
      <c r="G12" s="17">
        <f t="shared" si="0"/>
        <v>2380</v>
      </c>
      <c r="H12" s="34"/>
      <c r="I12" s="14" t="s">
        <v>12</v>
      </c>
    </row>
    <row r="13" ht="43.7" spans="1:11">
      <c r="A13" s="14"/>
      <c r="B13" s="15" t="s">
        <v>42</v>
      </c>
      <c r="C13" s="18" t="s">
        <v>43</v>
      </c>
      <c r="D13" s="17" t="s">
        <v>36</v>
      </c>
      <c r="E13" s="17">
        <v>1275</v>
      </c>
      <c r="F13" s="33">
        <v>0.85</v>
      </c>
      <c r="G13" s="17">
        <f t="shared" si="0"/>
        <v>1083.75</v>
      </c>
      <c r="H13" s="35" t="s">
        <v>44</v>
      </c>
      <c r="I13" s="14" t="s">
        <v>12</v>
      </c>
      <c r="K13" s="42"/>
    </row>
    <row r="14" s="7" customFormat="1" ht="72.85" spans="1:9">
      <c r="A14" s="14"/>
      <c r="B14" s="15" t="s">
        <v>45</v>
      </c>
      <c r="C14" s="18" t="s">
        <v>46</v>
      </c>
      <c r="D14" s="17" t="s">
        <v>36</v>
      </c>
      <c r="E14" s="17">
        <v>793</v>
      </c>
      <c r="F14" s="33">
        <v>0.85</v>
      </c>
      <c r="G14" s="17">
        <f t="shared" si="0"/>
        <v>674.05</v>
      </c>
      <c r="H14" s="35" t="s">
        <v>47</v>
      </c>
      <c r="I14" s="14" t="s">
        <v>12</v>
      </c>
    </row>
    <row r="15" ht="43.7" spans="1:9">
      <c r="A15" s="14"/>
      <c r="B15" s="15" t="s">
        <v>48</v>
      </c>
      <c r="C15" s="18" t="s">
        <v>49</v>
      </c>
      <c r="D15" s="17" t="s">
        <v>36</v>
      </c>
      <c r="E15" s="17">
        <v>1050</v>
      </c>
      <c r="F15" s="33">
        <v>0.85</v>
      </c>
      <c r="G15" s="17">
        <f t="shared" si="0"/>
        <v>892.5</v>
      </c>
      <c r="H15" s="35" t="s">
        <v>50</v>
      </c>
      <c r="I15" s="14" t="s">
        <v>12</v>
      </c>
    </row>
    <row r="16" ht="72.85" spans="1:9">
      <c r="A16" s="14"/>
      <c r="B16" s="15" t="s">
        <v>51</v>
      </c>
      <c r="C16" s="23" t="s">
        <v>52</v>
      </c>
      <c r="D16" s="17" t="s">
        <v>36</v>
      </c>
      <c r="E16" s="17">
        <v>650</v>
      </c>
      <c r="F16" s="33">
        <v>0.85</v>
      </c>
      <c r="G16" s="17">
        <f t="shared" si="0"/>
        <v>552.5</v>
      </c>
      <c r="H16" s="34"/>
      <c r="I16" s="14" t="s">
        <v>12</v>
      </c>
    </row>
    <row r="17" s="7" customFormat="1" ht="58.3" spans="1:9">
      <c r="A17" s="14"/>
      <c r="B17" s="15" t="s">
        <v>53</v>
      </c>
      <c r="C17" s="23" t="s">
        <v>54</v>
      </c>
      <c r="D17" s="17" t="s">
        <v>55</v>
      </c>
      <c r="E17" s="17">
        <v>350</v>
      </c>
      <c r="F17" s="33">
        <v>0.85</v>
      </c>
      <c r="G17" s="17">
        <f t="shared" si="0"/>
        <v>297.5</v>
      </c>
      <c r="H17" s="34"/>
      <c r="I17" s="14" t="s">
        <v>12</v>
      </c>
    </row>
    <row r="18" s="7" customFormat="1" ht="58.3" spans="1:9">
      <c r="A18" s="14"/>
      <c r="B18" s="15" t="s">
        <v>56</v>
      </c>
      <c r="C18" s="18" t="s">
        <v>57</v>
      </c>
      <c r="D18" s="17" t="s">
        <v>36</v>
      </c>
      <c r="E18" s="37">
        <v>119</v>
      </c>
      <c r="F18" s="33">
        <v>0.85</v>
      </c>
      <c r="G18" s="17">
        <f t="shared" si="0"/>
        <v>101.15</v>
      </c>
      <c r="H18" s="34"/>
      <c r="I18" s="14" t="s">
        <v>12</v>
      </c>
    </row>
    <row r="19" ht="43.7" spans="1:9">
      <c r="A19" s="14"/>
      <c r="B19" s="15" t="s">
        <v>58</v>
      </c>
      <c r="C19" s="18" t="s">
        <v>59</v>
      </c>
      <c r="D19" s="17" t="s">
        <v>60</v>
      </c>
      <c r="E19" s="17">
        <v>500</v>
      </c>
      <c r="F19" s="33">
        <v>0.85</v>
      </c>
      <c r="G19" s="17">
        <f t="shared" si="0"/>
        <v>425</v>
      </c>
      <c r="H19" s="35"/>
      <c r="I19" s="14" t="s">
        <v>12</v>
      </c>
    </row>
    <row r="20" ht="29.15" spans="1:9">
      <c r="A20" s="14" t="s">
        <v>61</v>
      </c>
      <c r="B20" s="15" t="s">
        <v>62</v>
      </c>
      <c r="C20" s="23" t="s">
        <v>63</v>
      </c>
      <c r="D20" s="17" t="s">
        <v>36</v>
      </c>
      <c r="E20" s="17">
        <v>267.6</v>
      </c>
      <c r="F20" s="33">
        <v>0.85</v>
      </c>
      <c r="G20" s="17">
        <f t="shared" si="0"/>
        <v>227.46</v>
      </c>
      <c r="H20" s="34"/>
      <c r="I20" s="14" t="s">
        <v>12</v>
      </c>
    </row>
    <row r="21" ht="43.7" spans="1:9">
      <c r="A21" s="14"/>
      <c r="B21" s="20" t="s">
        <v>64</v>
      </c>
      <c r="C21" s="24" t="s">
        <v>65</v>
      </c>
      <c r="D21" s="22" t="s">
        <v>66</v>
      </c>
      <c r="E21" s="22">
        <v>40</v>
      </c>
      <c r="F21" s="33">
        <v>0.85</v>
      </c>
      <c r="G21" s="17">
        <f t="shared" si="0"/>
        <v>34</v>
      </c>
      <c r="H21" s="36"/>
      <c r="I21" s="14" t="s">
        <v>12</v>
      </c>
    </row>
    <row r="22" s="8" customFormat="1" ht="72.85" spans="1:10">
      <c r="A22" s="22" t="s">
        <v>67</v>
      </c>
      <c r="B22" s="20" t="s">
        <v>68</v>
      </c>
      <c r="C22" s="21" t="s">
        <v>69</v>
      </c>
      <c r="D22" s="22" t="s">
        <v>15</v>
      </c>
      <c r="E22" s="22">
        <v>75</v>
      </c>
      <c r="F22" s="33">
        <v>0.85</v>
      </c>
      <c r="G22" s="17">
        <f t="shared" si="0"/>
        <v>63.75</v>
      </c>
      <c r="H22" s="38" t="s">
        <v>70</v>
      </c>
      <c r="I22" s="14" t="s">
        <v>12</v>
      </c>
      <c r="J22" s="7"/>
    </row>
    <row r="23" s="8" customFormat="1" ht="102" spans="1:10">
      <c r="A23" s="22"/>
      <c r="B23" s="20" t="s">
        <v>71</v>
      </c>
      <c r="C23" s="21" t="s">
        <v>72</v>
      </c>
      <c r="D23" s="22" t="s">
        <v>15</v>
      </c>
      <c r="E23" s="22">
        <v>127.5</v>
      </c>
      <c r="F23" s="33">
        <v>0.85</v>
      </c>
      <c r="G23" s="17">
        <f t="shared" si="0"/>
        <v>108.375</v>
      </c>
      <c r="H23" s="35" t="s">
        <v>20</v>
      </c>
      <c r="I23" s="14" t="s">
        <v>12</v>
      </c>
      <c r="J23" s="7"/>
    </row>
    <row r="24" ht="29.15" spans="1:9">
      <c r="A24" s="25" t="s">
        <v>73</v>
      </c>
      <c r="B24" s="15" t="s">
        <v>74</v>
      </c>
      <c r="C24" s="18" t="s">
        <v>75</v>
      </c>
      <c r="D24" s="17" t="s">
        <v>36</v>
      </c>
      <c r="E24" s="17">
        <v>6000</v>
      </c>
      <c r="F24" s="33">
        <v>0.85</v>
      </c>
      <c r="G24" s="17">
        <f t="shared" si="0"/>
        <v>5100</v>
      </c>
      <c r="H24" s="35" t="s">
        <v>20</v>
      </c>
      <c r="I24" s="14" t="s">
        <v>12</v>
      </c>
    </row>
    <row r="25" ht="145.7" spans="1:9">
      <c r="A25" s="26"/>
      <c r="B25" s="15" t="s">
        <v>76</v>
      </c>
      <c r="C25" s="18" t="s">
        <v>77</v>
      </c>
      <c r="D25" s="22" t="s">
        <v>78</v>
      </c>
      <c r="E25" s="22">
        <v>3500</v>
      </c>
      <c r="F25" s="33">
        <v>0.85</v>
      </c>
      <c r="G25" s="17">
        <f t="shared" si="0"/>
        <v>2975</v>
      </c>
      <c r="H25" s="35"/>
      <c r="I25" s="14" t="s">
        <v>12</v>
      </c>
    </row>
    <row r="26" ht="145.7" spans="1:9">
      <c r="A26" s="27"/>
      <c r="B26" s="15" t="s">
        <v>79</v>
      </c>
      <c r="C26" s="18" t="s">
        <v>80</v>
      </c>
      <c r="D26" s="17" t="s">
        <v>36</v>
      </c>
      <c r="E26" s="17">
        <v>6000</v>
      </c>
      <c r="F26" s="33">
        <v>0.85</v>
      </c>
      <c r="G26" s="17">
        <f t="shared" si="0"/>
        <v>5100</v>
      </c>
      <c r="H26" s="35"/>
      <c r="I26" s="14" t="s">
        <v>12</v>
      </c>
    </row>
    <row r="27" ht="58.3" spans="1:9">
      <c r="A27" s="14" t="s">
        <v>81</v>
      </c>
      <c r="B27" s="15" t="s">
        <v>82</v>
      </c>
      <c r="C27" s="28" t="s">
        <v>83</v>
      </c>
      <c r="D27" s="17" t="s">
        <v>84</v>
      </c>
      <c r="E27" s="17">
        <v>2381</v>
      </c>
      <c r="F27" s="33">
        <v>0.85</v>
      </c>
      <c r="G27" s="17">
        <f t="shared" ref="G27:G41" si="1">E27*F27</f>
        <v>2023.85</v>
      </c>
      <c r="H27" s="35" t="s">
        <v>85</v>
      </c>
      <c r="I27" s="14" t="s">
        <v>12</v>
      </c>
    </row>
    <row r="28" ht="72.85" spans="1:9">
      <c r="A28" s="14"/>
      <c r="B28" s="15" t="s">
        <v>86</v>
      </c>
      <c r="C28" s="28" t="s">
        <v>87</v>
      </c>
      <c r="D28" s="17" t="s">
        <v>36</v>
      </c>
      <c r="E28" s="17">
        <v>4762</v>
      </c>
      <c r="F28" s="33">
        <v>0.85</v>
      </c>
      <c r="G28" s="17">
        <f t="shared" si="1"/>
        <v>4047.7</v>
      </c>
      <c r="H28" s="38" t="s">
        <v>88</v>
      </c>
      <c r="I28" s="14" t="s">
        <v>12</v>
      </c>
    </row>
    <row r="29" ht="247.7" spans="1:9">
      <c r="A29" s="14"/>
      <c r="B29" s="16" t="s">
        <v>89</v>
      </c>
      <c r="C29" s="28" t="s">
        <v>90</v>
      </c>
      <c r="D29" s="17" t="s">
        <v>36</v>
      </c>
      <c r="E29" s="17">
        <v>5952</v>
      </c>
      <c r="F29" s="33">
        <v>0.85</v>
      </c>
      <c r="G29" s="17">
        <f t="shared" si="1"/>
        <v>5059.2</v>
      </c>
      <c r="H29" s="34" t="s">
        <v>91</v>
      </c>
      <c r="I29" s="14" t="s">
        <v>12</v>
      </c>
    </row>
    <row r="30" ht="87.45" spans="1:9">
      <c r="A30" s="14"/>
      <c r="B30" s="15" t="s">
        <v>92</v>
      </c>
      <c r="C30" s="28" t="s">
        <v>93</v>
      </c>
      <c r="D30" s="17" t="s">
        <v>84</v>
      </c>
      <c r="E30" s="17">
        <v>2267</v>
      </c>
      <c r="F30" s="33">
        <v>0.85</v>
      </c>
      <c r="G30" s="17">
        <f t="shared" si="1"/>
        <v>1926.95</v>
      </c>
      <c r="H30" s="34" t="s">
        <v>85</v>
      </c>
      <c r="I30" s="14" t="s">
        <v>12</v>
      </c>
    </row>
    <row r="31" ht="102" spans="1:9">
      <c r="A31" s="14"/>
      <c r="B31" s="15" t="s">
        <v>94</v>
      </c>
      <c r="C31" s="28" t="s">
        <v>95</v>
      </c>
      <c r="D31" s="17" t="s">
        <v>36</v>
      </c>
      <c r="E31" s="17">
        <v>13244</v>
      </c>
      <c r="F31" s="33">
        <v>0.85</v>
      </c>
      <c r="G31" s="17">
        <f t="shared" si="1"/>
        <v>11257.4</v>
      </c>
      <c r="H31" s="34" t="s">
        <v>91</v>
      </c>
      <c r="I31" s="14" t="s">
        <v>12</v>
      </c>
    </row>
    <row r="32" spans="1:9">
      <c r="A32" s="14"/>
      <c r="B32" s="15" t="s">
        <v>96</v>
      </c>
      <c r="C32" s="21" t="s">
        <v>97</v>
      </c>
      <c r="D32" s="17" t="s">
        <v>36</v>
      </c>
      <c r="E32" s="17">
        <v>952</v>
      </c>
      <c r="F32" s="33">
        <v>0.85</v>
      </c>
      <c r="G32" s="17">
        <f t="shared" si="1"/>
        <v>809.2</v>
      </c>
      <c r="H32" s="34"/>
      <c r="I32" s="14" t="s">
        <v>12</v>
      </c>
    </row>
    <row r="33" spans="1:9">
      <c r="A33" s="14"/>
      <c r="B33" s="15" t="s">
        <v>98</v>
      </c>
      <c r="C33" s="21"/>
      <c r="D33" s="17" t="s">
        <v>36</v>
      </c>
      <c r="E33" s="17">
        <v>952</v>
      </c>
      <c r="F33" s="33">
        <v>0.85</v>
      </c>
      <c r="G33" s="17">
        <f t="shared" si="1"/>
        <v>809.2</v>
      </c>
      <c r="H33" s="35"/>
      <c r="I33" s="14" t="s">
        <v>12</v>
      </c>
    </row>
    <row r="34" spans="1:9">
      <c r="A34" s="14"/>
      <c r="B34" s="15" t="s">
        <v>99</v>
      </c>
      <c r="C34" s="21"/>
      <c r="D34" s="17" t="s">
        <v>36</v>
      </c>
      <c r="E34" s="17">
        <v>952</v>
      </c>
      <c r="F34" s="33">
        <v>0.85</v>
      </c>
      <c r="G34" s="17">
        <f t="shared" si="1"/>
        <v>809.2</v>
      </c>
      <c r="H34" s="35"/>
      <c r="I34" s="14" t="s">
        <v>12</v>
      </c>
    </row>
    <row r="35" ht="29.15" spans="1:9">
      <c r="A35" s="25" t="s">
        <v>100</v>
      </c>
      <c r="B35" s="15" t="s">
        <v>101</v>
      </c>
      <c r="C35" s="23" t="s">
        <v>102</v>
      </c>
      <c r="D35" s="17" t="s">
        <v>103</v>
      </c>
      <c r="E35" s="17">
        <v>8</v>
      </c>
      <c r="F35" s="33">
        <v>0.85</v>
      </c>
      <c r="G35" s="17">
        <f t="shared" si="1"/>
        <v>6.8</v>
      </c>
      <c r="H35" s="35"/>
      <c r="I35" s="14" t="s">
        <v>12</v>
      </c>
    </row>
    <row r="36" ht="29.15" spans="1:9">
      <c r="A36" s="26"/>
      <c r="B36" s="21" t="s">
        <v>104</v>
      </c>
      <c r="C36" s="21" t="s">
        <v>105</v>
      </c>
      <c r="D36" s="17" t="s">
        <v>103</v>
      </c>
      <c r="E36" s="17">
        <v>180</v>
      </c>
      <c r="F36" s="33">
        <v>0.85</v>
      </c>
      <c r="G36" s="17">
        <f t="shared" si="1"/>
        <v>153</v>
      </c>
      <c r="H36" s="35"/>
      <c r="I36" s="14" t="s">
        <v>12</v>
      </c>
    </row>
    <row r="37" ht="29.15" spans="1:9">
      <c r="A37" s="27"/>
      <c r="B37" s="21" t="s">
        <v>106</v>
      </c>
      <c r="C37" s="21" t="s">
        <v>107</v>
      </c>
      <c r="D37" s="17" t="s">
        <v>103</v>
      </c>
      <c r="E37" s="17">
        <v>120</v>
      </c>
      <c r="F37" s="33">
        <v>0.85</v>
      </c>
      <c r="G37" s="17">
        <f t="shared" si="1"/>
        <v>102</v>
      </c>
      <c r="H37" s="35"/>
      <c r="I37" s="14" t="s">
        <v>12</v>
      </c>
    </row>
    <row r="38" ht="174.85" spans="1:9">
      <c r="A38" s="17" t="s">
        <v>108</v>
      </c>
      <c r="B38" s="15" t="s">
        <v>109</v>
      </c>
      <c r="C38" s="16" t="s">
        <v>110</v>
      </c>
      <c r="D38" s="17" t="s">
        <v>111</v>
      </c>
      <c r="E38" s="17">
        <v>17000</v>
      </c>
      <c r="F38" s="33">
        <v>0.85</v>
      </c>
      <c r="G38" s="17">
        <f t="shared" si="1"/>
        <v>14450</v>
      </c>
      <c r="H38" s="35"/>
      <c r="I38" s="14" t="s">
        <v>12</v>
      </c>
    </row>
    <row r="39" ht="116.55" spans="1:9">
      <c r="A39" s="17"/>
      <c r="B39" s="15" t="s">
        <v>112</v>
      </c>
      <c r="C39" s="16" t="s">
        <v>113</v>
      </c>
      <c r="D39" s="17" t="s">
        <v>114</v>
      </c>
      <c r="E39" s="39">
        <v>140</v>
      </c>
      <c r="F39" s="40">
        <v>1</v>
      </c>
      <c r="G39" s="39">
        <f t="shared" si="1"/>
        <v>140</v>
      </c>
      <c r="H39" s="41" t="s">
        <v>115</v>
      </c>
      <c r="I39" s="14" t="s">
        <v>12</v>
      </c>
    </row>
    <row r="40" ht="131.15" spans="1:9">
      <c r="A40" s="17"/>
      <c r="B40" s="15" t="s">
        <v>116</v>
      </c>
      <c r="C40" s="16" t="s">
        <v>117</v>
      </c>
      <c r="D40" s="17" t="s">
        <v>118</v>
      </c>
      <c r="E40" s="17">
        <v>300</v>
      </c>
      <c r="F40" s="33">
        <v>0.85</v>
      </c>
      <c r="G40" s="17">
        <f t="shared" si="1"/>
        <v>255</v>
      </c>
      <c r="H40" s="35"/>
      <c r="I40" s="14" t="s">
        <v>12</v>
      </c>
    </row>
    <row r="41" s="7" customFormat="1" ht="43.7" spans="1:9">
      <c r="A41" s="14" t="s">
        <v>119</v>
      </c>
      <c r="B41" s="15" t="s">
        <v>120</v>
      </c>
      <c r="C41" s="23" t="s">
        <v>121</v>
      </c>
      <c r="D41" s="17" t="s">
        <v>122</v>
      </c>
      <c r="E41" s="17">
        <v>40</v>
      </c>
      <c r="F41" s="33">
        <v>1</v>
      </c>
      <c r="G41" s="17">
        <f t="shared" si="1"/>
        <v>40</v>
      </c>
      <c r="H41" s="34" t="s">
        <v>115</v>
      </c>
      <c r="I41" s="14" t="s">
        <v>123</v>
      </c>
    </row>
    <row r="42" s="9" customFormat="1" spans="1:9">
      <c r="A42" s="19"/>
      <c r="B42" s="21" t="s">
        <v>124</v>
      </c>
      <c r="C42" s="29" t="s">
        <v>125</v>
      </c>
      <c r="D42" s="22" t="s">
        <v>126</v>
      </c>
      <c r="E42" s="17">
        <v>13.6</v>
      </c>
      <c r="F42" s="33">
        <v>1</v>
      </c>
      <c r="G42" s="17">
        <v>13.6</v>
      </c>
      <c r="H42" s="34" t="s">
        <v>115</v>
      </c>
      <c r="I42" s="14" t="s">
        <v>123</v>
      </c>
    </row>
    <row r="43" s="9" customFormat="1" spans="1:9">
      <c r="A43" s="19"/>
      <c r="B43" s="21" t="s">
        <v>127</v>
      </c>
      <c r="C43" s="30"/>
      <c r="D43" s="22" t="s">
        <v>126</v>
      </c>
      <c r="E43" s="17">
        <v>17</v>
      </c>
      <c r="F43" s="33">
        <v>1</v>
      </c>
      <c r="G43" s="17">
        <v>17</v>
      </c>
      <c r="H43" s="34" t="s">
        <v>115</v>
      </c>
      <c r="I43" s="14" t="s">
        <v>123</v>
      </c>
    </row>
    <row r="44" s="9" customFormat="1" spans="1:9">
      <c r="A44" s="19"/>
      <c r="B44" s="21" t="s">
        <v>128</v>
      </c>
      <c r="C44" s="31"/>
      <c r="D44" s="22" t="s">
        <v>126</v>
      </c>
      <c r="E44" s="17">
        <v>25.5</v>
      </c>
      <c r="F44" s="33">
        <v>1</v>
      </c>
      <c r="G44" s="17">
        <v>25.5</v>
      </c>
      <c r="H44" s="34" t="s">
        <v>115</v>
      </c>
      <c r="I44" s="14" t="s">
        <v>123</v>
      </c>
    </row>
    <row r="45" ht="87.45" spans="1:9">
      <c r="A45" s="14" t="s">
        <v>129</v>
      </c>
      <c r="B45" s="16" t="s">
        <v>130</v>
      </c>
      <c r="C45" s="16" t="s">
        <v>131</v>
      </c>
      <c r="D45" s="14" t="s">
        <v>132</v>
      </c>
      <c r="E45" s="14">
        <v>40000</v>
      </c>
      <c r="F45" s="33">
        <v>0.85</v>
      </c>
      <c r="G45" s="17">
        <f t="shared" ref="G45:G47" si="2">E45*F45</f>
        <v>34000</v>
      </c>
      <c r="H45" s="35"/>
      <c r="I45" s="14" t="s">
        <v>12</v>
      </c>
    </row>
    <row r="46" ht="58.3" spans="1:9">
      <c r="A46" s="14"/>
      <c r="B46" s="15" t="s">
        <v>133</v>
      </c>
      <c r="C46" s="16" t="s">
        <v>134</v>
      </c>
      <c r="D46" s="14" t="s">
        <v>135</v>
      </c>
      <c r="E46" s="14">
        <v>15000</v>
      </c>
      <c r="F46" s="33">
        <v>0.85</v>
      </c>
      <c r="G46" s="17">
        <f t="shared" si="2"/>
        <v>12750</v>
      </c>
      <c r="H46" s="35"/>
      <c r="I46" s="14" t="s">
        <v>12</v>
      </c>
    </row>
    <row r="47" ht="43.7" spans="1:9">
      <c r="A47" s="14"/>
      <c r="B47" s="15" t="s">
        <v>136</v>
      </c>
      <c r="C47" s="16" t="s">
        <v>137</v>
      </c>
      <c r="D47" s="14" t="s">
        <v>135</v>
      </c>
      <c r="E47" s="14">
        <v>12600</v>
      </c>
      <c r="F47" s="33">
        <v>0.85</v>
      </c>
      <c r="G47" s="17">
        <f t="shared" si="2"/>
        <v>10710</v>
      </c>
      <c r="H47" s="35"/>
      <c r="I47" s="14" t="s">
        <v>12</v>
      </c>
    </row>
  </sheetData>
  <mergeCells count="13">
    <mergeCell ref="A5:A7"/>
    <mergeCell ref="A8:A9"/>
    <mergeCell ref="A10:A19"/>
    <mergeCell ref="A20:A21"/>
    <mergeCell ref="A22:A23"/>
    <mergeCell ref="A24:A26"/>
    <mergeCell ref="A27:A34"/>
    <mergeCell ref="A35:A37"/>
    <mergeCell ref="A38:A40"/>
    <mergeCell ref="A41:A44"/>
    <mergeCell ref="A45:A47"/>
    <mergeCell ref="C32:C34"/>
    <mergeCell ref="C42:C44"/>
  </mergeCells>
  <dataValidations count="1">
    <dataValidation type="list" allowBlank="1" showInputMessage="1" showErrorMessage="1" sqref="I2:I1048576">
      <formula1>"I,II"</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8"/>
  <sheetViews>
    <sheetView zoomScale="115" zoomScaleNormal="115" workbookViewId="0">
      <selection activeCell="G22" sqref="G22"/>
    </sheetView>
  </sheetViews>
  <sheetFormatPr defaultColWidth="9" defaultRowHeight="14.55" outlineLevelCol="4"/>
  <cols>
    <col min="1" max="1" width="5.74774774774775" style="1" customWidth="1"/>
    <col min="2" max="2" width="33.8738738738739" style="1" customWidth="1"/>
    <col min="3" max="3" width="10.2522522522523" style="2" customWidth="1"/>
    <col min="4" max="4" width="15.3783783783784" style="2" customWidth="1"/>
    <col min="5" max="5" width="9.5045045045045" style="1"/>
    <col min="6" max="16384" width="9" style="1"/>
  </cols>
  <sheetData>
    <row r="1" ht="13.7" spans="1:5">
      <c r="A1" s="3" t="s">
        <v>138</v>
      </c>
      <c r="B1" s="3" t="s">
        <v>139</v>
      </c>
      <c r="C1" s="3" t="s">
        <v>3</v>
      </c>
      <c r="D1" s="3" t="s">
        <v>4</v>
      </c>
      <c r="E1" s="3" t="s">
        <v>6</v>
      </c>
    </row>
    <row r="2" ht="13.7" spans="1:5">
      <c r="A2" s="4">
        <f>ROW()-1</f>
        <v>1</v>
      </c>
      <c r="B2" s="5" t="s">
        <v>9</v>
      </c>
      <c r="C2" s="5" t="s">
        <v>11</v>
      </c>
      <c r="D2" s="5">
        <v>30</v>
      </c>
      <c r="E2" s="5">
        <v>25.5</v>
      </c>
    </row>
    <row r="3" ht="13.7" spans="1:5">
      <c r="A3" s="4">
        <f t="shared" ref="A3:A34" si="0">ROW()-1</f>
        <v>2</v>
      </c>
      <c r="B3" s="5" t="s">
        <v>13</v>
      </c>
      <c r="C3" s="5" t="s">
        <v>15</v>
      </c>
      <c r="D3" s="5">
        <v>19.5</v>
      </c>
      <c r="E3" s="5">
        <v>16.575</v>
      </c>
    </row>
    <row r="4" ht="13.7" spans="1:5">
      <c r="A4" s="4">
        <f t="shared" si="0"/>
        <v>3</v>
      </c>
      <c r="B4" s="5" t="s">
        <v>17</v>
      </c>
      <c r="C4" s="5" t="s">
        <v>19</v>
      </c>
      <c r="D4" s="5">
        <v>546</v>
      </c>
      <c r="E4" s="5">
        <v>464.1</v>
      </c>
    </row>
    <row r="5" ht="13.7" spans="1:5">
      <c r="A5" s="4">
        <f t="shared" si="0"/>
        <v>4</v>
      </c>
      <c r="B5" s="5" t="s">
        <v>22</v>
      </c>
      <c r="C5" s="5" t="s">
        <v>15</v>
      </c>
      <c r="D5" s="5">
        <v>0.3</v>
      </c>
      <c r="E5" s="5">
        <v>0.255</v>
      </c>
    </row>
    <row r="6" ht="13.7" spans="1:5">
      <c r="A6" s="4">
        <f t="shared" si="0"/>
        <v>5</v>
      </c>
      <c r="B6" s="5" t="s">
        <v>24</v>
      </c>
      <c r="C6" s="5" t="s">
        <v>15</v>
      </c>
      <c r="D6" s="5">
        <v>1.2</v>
      </c>
      <c r="E6" s="5">
        <v>1.02</v>
      </c>
    </row>
    <row r="7" ht="13.7" spans="1:5">
      <c r="A7" s="4">
        <f t="shared" si="0"/>
        <v>6</v>
      </c>
      <c r="B7" s="5" t="s">
        <v>26</v>
      </c>
      <c r="C7" s="5" t="s">
        <v>15</v>
      </c>
      <c r="D7" s="5">
        <v>0.09</v>
      </c>
      <c r="E7" s="5">
        <v>0.0765</v>
      </c>
    </row>
    <row r="8" ht="13.7" spans="1:5">
      <c r="A8" s="4">
        <f t="shared" si="0"/>
        <v>7</v>
      </c>
      <c r="B8" s="5" t="s">
        <v>29</v>
      </c>
      <c r="C8" s="5" t="s">
        <v>15</v>
      </c>
      <c r="D8" s="5">
        <v>0.32</v>
      </c>
      <c r="E8" s="5">
        <v>0.272</v>
      </c>
    </row>
    <row r="9" ht="13.7" spans="1:5">
      <c r="A9" s="4">
        <f t="shared" si="0"/>
        <v>8</v>
      </c>
      <c r="B9" s="5" t="s">
        <v>31</v>
      </c>
      <c r="C9" s="5" t="s">
        <v>15</v>
      </c>
      <c r="D9" s="5">
        <v>0.32</v>
      </c>
      <c r="E9" s="5">
        <v>0.272</v>
      </c>
    </row>
    <row r="10" ht="13.7" spans="1:5">
      <c r="A10" s="4">
        <f t="shared" si="0"/>
        <v>9</v>
      </c>
      <c r="B10" s="5" t="s">
        <v>34</v>
      </c>
      <c r="C10" s="5" t="s">
        <v>36</v>
      </c>
      <c r="D10" s="5">
        <v>112.5</v>
      </c>
      <c r="E10" s="5">
        <v>95.625</v>
      </c>
    </row>
    <row r="11" ht="13.7" spans="1:5">
      <c r="A11" s="4">
        <f t="shared" si="0"/>
        <v>10</v>
      </c>
      <c r="B11" s="5" t="s">
        <v>38</v>
      </c>
      <c r="C11" s="5" t="s">
        <v>36</v>
      </c>
      <c r="D11" s="5">
        <v>3450</v>
      </c>
      <c r="E11" s="5">
        <v>2932.5</v>
      </c>
    </row>
    <row r="12" ht="13.7" spans="1:5">
      <c r="A12" s="4">
        <f t="shared" si="0"/>
        <v>11</v>
      </c>
      <c r="B12" s="5" t="s">
        <v>40</v>
      </c>
      <c r="C12" s="5" t="s">
        <v>36</v>
      </c>
      <c r="D12" s="5">
        <v>2800</v>
      </c>
      <c r="E12" s="5">
        <v>2380</v>
      </c>
    </row>
    <row r="13" ht="13.7" spans="1:5">
      <c r="A13" s="4">
        <f t="shared" si="0"/>
        <v>12</v>
      </c>
      <c r="B13" s="5" t="s">
        <v>42</v>
      </c>
      <c r="C13" s="5" t="s">
        <v>36</v>
      </c>
      <c r="D13" s="5">
        <v>1275</v>
      </c>
      <c r="E13" s="5">
        <v>1083.75</v>
      </c>
    </row>
    <row r="14" ht="13.7" spans="1:5">
      <c r="A14" s="4">
        <f t="shared" si="0"/>
        <v>13</v>
      </c>
      <c r="B14" s="5" t="s">
        <v>45</v>
      </c>
      <c r="C14" s="5" t="s">
        <v>36</v>
      </c>
      <c r="D14" s="5">
        <v>793</v>
      </c>
      <c r="E14" s="5">
        <v>674.05</v>
      </c>
    </row>
    <row r="15" ht="13.7" spans="1:5">
      <c r="A15" s="4">
        <f t="shared" si="0"/>
        <v>14</v>
      </c>
      <c r="B15" s="5" t="s">
        <v>48</v>
      </c>
      <c r="C15" s="5" t="s">
        <v>36</v>
      </c>
      <c r="D15" s="5">
        <v>1050</v>
      </c>
      <c r="E15" s="5">
        <v>892.5</v>
      </c>
    </row>
    <row r="16" ht="13.7" spans="1:5">
      <c r="A16" s="4">
        <f t="shared" si="0"/>
        <v>15</v>
      </c>
      <c r="B16" s="5" t="s">
        <v>51</v>
      </c>
      <c r="C16" s="5" t="s">
        <v>36</v>
      </c>
      <c r="D16" s="5">
        <v>650</v>
      </c>
      <c r="E16" s="5">
        <v>552.5</v>
      </c>
    </row>
    <row r="17" ht="13.7" spans="1:5">
      <c r="A17" s="4">
        <f t="shared" si="0"/>
        <v>16</v>
      </c>
      <c r="B17" s="5" t="s">
        <v>53</v>
      </c>
      <c r="C17" s="5" t="s">
        <v>55</v>
      </c>
      <c r="D17" s="5">
        <v>350</v>
      </c>
      <c r="E17" s="5">
        <v>297.5</v>
      </c>
    </row>
    <row r="18" ht="13.7" spans="1:5">
      <c r="A18" s="4">
        <f t="shared" si="0"/>
        <v>17</v>
      </c>
      <c r="B18" s="5" t="s">
        <v>56</v>
      </c>
      <c r="C18" s="5" t="s">
        <v>36</v>
      </c>
      <c r="D18" s="5">
        <v>119</v>
      </c>
      <c r="E18" s="5">
        <v>101.15</v>
      </c>
    </row>
    <row r="19" ht="27.45" spans="1:5">
      <c r="A19" s="4">
        <f t="shared" si="0"/>
        <v>18</v>
      </c>
      <c r="B19" s="5" t="s">
        <v>58</v>
      </c>
      <c r="C19" s="5" t="s">
        <v>60</v>
      </c>
      <c r="D19" s="5">
        <v>500</v>
      </c>
      <c r="E19" s="5">
        <v>425</v>
      </c>
    </row>
    <row r="20" ht="13.7" spans="1:5">
      <c r="A20" s="4">
        <f t="shared" si="0"/>
        <v>19</v>
      </c>
      <c r="B20" s="5" t="s">
        <v>62</v>
      </c>
      <c r="C20" s="5" t="s">
        <v>36</v>
      </c>
      <c r="D20" s="5">
        <v>267.6</v>
      </c>
      <c r="E20" s="5">
        <v>227.46</v>
      </c>
    </row>
    <row r="21" ht="13.7" spans="1:5">
      <c r="A21" s="4">
        <f t="shared" si="0"/>
        <v>20</v>
      </c>
      <c r="B21" s="5" t="s">
        <v>64</v>
      </c>
      <c r="C21" s="5" t="s">
        <v>66</v>
      </c>
      <c r="D21" s="5">
        <v>40</v>
      </c>
      <c r="E21" s="5">
        <v>34</v>
      </c>
    </row>
    <row r="22" ht="13.7" spans="1:5">
      <c r="A22" s="4">
        <f t="shared" si="0"/>
        <v>21</v>
      </c>
      <c r="B22" s="5" t="s">
        <v>68</v>
      </c>
      <c r="C22" s="5" t="s">
        <v>15</v>
      </c>
      <c r="D22" s="5">
        <v>75</v>
      </c>
      <c r="E22" s="5">
        <v>63.75</v>
      </c>
    </row>
    <row r="23" ht="13.7" spans="1:5">
      <c r="A23" s="4">
        <f t="shared" si="0"/>
        <v>22</v>
      </c>
      <c r="B23" s="5" t="s">
        <v>71</v>
      </c>
      <c r="C23" s="5" t="s">
        <v>15</v>
      </c>
      <c r="D23" s="5">
        <v>127.5</v>
      </c>
      <c r="E23" s="5">
        <v>108.375</v>
      </c>
    </row>
    <row r="24" ht="13.7" spans="1:5">
      <c r="A24" s="4">
        <f t="shared" si="0"/>
        <v>23</v>
      </c>
      <c r="B24" s="5" t="s">
        <v>74</v>
      </c>
      <c r="C24" s="5" t="s">
        <v>36</v>
      </c>
      <c r="D24" s="5">
        <v>6000</v>
      </c>
      <c r="E24" s="5">
        <v>5100</v>
      </c>
    </row>
    <row r="25" ht="13.7" spans="1:5">
      <c r="A25" s="4">
        <f t="shared" si="0"/>
        <v>24</v>
      </c>
      <c r="B25" s="5" t="s">
        <v>140</v>
      </c>
      <c r="C25" s="5" t="s">
        <v>36</v>
      </c>
      <c r="D25" s="5">
        <v>1800</v>
      </c>
      <c r="E25" s="5">
        <v>1530</v>
      </c>
    </row>
    <row r="26" ht="13.7" spans="1:5">
      <c r="A26" s="4">
        <f t="shared" si="0"/>
        <v>25</v>
      </c>
      <c r="B26" s="5" t="s">
        <v>141</v>
      </c>
      <c r="C26" s="5" t="s">
        <v>36</v>
      </c>
      <c r="D26" s="5">
        <v>1800</v>
      </c>
      <c r="E26" s="5">
        <v>1530</v>
      </c>
    </row>
    <row r="27" ht="13.7" spans="1:5">
      <c r="A27" s="4">
        <f t="shared" si="0"/>
        <v>26</v>
      </c>
      <c r="B27" s="5" t="s">
        <v>142</v>
      </c>
      <c r="C27" s="5" t="s">
        <v>36</v>
      </c>
      <c r="D27" s="5">
        <v>1800</v>
      </c>
      <c r="E27" s="5">
        <v>1530</v>
      </c>
    </row>
    <row r="28" ht="13.7" spans="1:5">
      <c r="A28" s="4">
        <f t="shared" si="0"/>
        <v>27</v>
      </c>
      <c r="B28" s="5" t="s">
        <v>143</v>
      </c>
      <c r="C28" s="5" t="s">
        <v>36</v>
      </c>
      <c r="D28" s="5">
        <v>1800</v>
      </c>
      <c r="E28" s="5">
        <v>1530</v>
      </c>
    </row>
    <row r="29" ht="13.7" spans="1:5">
      <c r="A29" s="4">
        <f t="shared" si="0"/>
        <v>28</v>
      </c>
      <c r="B29" s="5" t="s">
        <v>82</v>
      </c>
      <c r="C29" s="5" t="s">
        <v>84</v>
      </c>
      <c r="D29" s="5">
        <v>2381</v>
      </c>
      <c r="E29" s="5">
        <v>2023.85</v>
      </c>
    </row>
    <row r="30" ht="13.7" spans="1:5">
      <c r="A30" s="4">
        <f t="shared" si="0"/>
        <v>29</v>
      </c>
      <c r="B30" s="5" t="s">
        <v>86</v>
      </c>
      <c r="C30" s="5" t="s">
        <v>36</v>
      </c>
      <c r="D30" s="5">
        <v>4762</v>
      </c>
      <c r="E30" s="5">
        <v>4047.7</v>
      </c>
    </row>
    <row r="31" ht="27.45" spans="1:5">
      <c r="A31" s="4">
        <f t="shared" si="0"/>
        <v>30</v>
      </c>
      <c r="B31" s="5" t="s">
        <v>89</v>
      </c>
      <c r="C31" s="5" t="s">
        <v>36</v>
      </c>
      <c r="D31" s="5">
        <v>5952</v>
      </c>
      <c r="E31" s="5">
        <v>5059.2</v>
      </c>
    </row>
    <row r="32" ht="13.7" spans="1:5">
      <c r="A32" s="4">
        <f t="shared" si="0"/>
        <v>31</v>
      </c>
      <c r="B32" s="5" t="s">
        <v>92</v>
      </c>
      <c r="C32" s="5" t="s">
        <v>84</v>
      </c>
      <c r="D32" s="5">
        <v>2267</v>
      </c>
      <c r="E32" s="5">
        <v>1926.95</v>
      </c>
    </row>
    <row r="33" ht="13.7" spans="1:5">
      <c r="A33" s="4">
        <f t="shared" si="0"/>
        <v>32</v>
      </c>
      <c r="B33" s="5" t="s">
        <v>94</v>
      </c>
      <c r="C33" s="5" t="s">
        <v>36</v>
      </c>
      <c r="D33" s="5">
        <v>13244</v>
      </c>
      <c r="E33" s="5">
        <v>11257.4</v>
      </c>
    </row>
    <row r="34" ht="13.7" spans="1:5">
      <c r="A34" s="4">
        <f t="shared" si="0"/>
        <v>33</v>
      </c>
      <c r="B34" s="5" t="s">
        <v>96</v>
      </c>
      <c r="C34" s="5" t="s">
        <v>36</v>
      </c>
      <c r="D34" s="5">
        <v>952</v>
      </c>
      <c r="E34" s="5">
        <v>809.2</v>
      </c>
    </row>
    <row r="35" ht="13.7" spans="1:5">
      <c r="A35" s="6">
        <v>34</v>
      </c>
      <c r="B35" s="5" t="s">
        <v>98</v>
      </c>
      <c r="C35" s="5" t="s">
        <v>36</v>
      </c>
      <c r="D35" s="5">
        <v>952</v>
      </c>
      <c r="E35" s="5">
        <v>809.2</v>
      </c>
    </row>
    <row r="36" ht="13.7" spans="1:5">
      <c r="A36" s="6">
        <v>35</v>
      </c>
      <c r="B36" s="5" t="s">
        <v>99</v>
      </c>
      <c r="C36" s="5" t="s">
        <v>36</v>
      </c>
      <c r="D36" s="5">
        <v>952</v>
      </c>
      <c r="E36" s="5">
        <v>809.2</v>
      </c>
    </row>
    <row r="37" ht="13.7" spans="1:5">
      <c r="A37" s="6">
        <v>36</v>
      </c>
      <c r="B37" s="5" t="s">
        <v>101</v>
      </c>
      <c r="C37" s="5" t="s">
        <v>103</v>
      </c>
      <c r="D37" s="5">
        <v>8</v>
      </c>
      <c r="E37" s="5">
        <v>6.8</v>
      </c>
    </row>
    <row r="38" ht="13.7" spans="1:5">
      <c r="A38" s="6">
        <v>37</v>
      </c>
      <c r="B38" s="5" t="s">
        <v>104</v>
      </c>
      <c r="C38" s="5" t="s">
        <v>103</v>
      </c>
      <c r="D38" s="5">
        <v>180</v>
      </c>
      <c r="E38" s="5">
        <v>153</v>
      </c>
    </row>
    <row r="39" ht="13.7" spans="1:5">
      <c r="A39" s="6">
        <v>38</v>
      </c>
      <c r="B39" s="5" t="s">
        <v>106</v>
      </c>
      <c r="C39" s="5" t="s">
        <v>103</v>
      </c>
      <c r="D39" s="5">
        <v>120</v>
      </c>
      <c r="E39" s="5">
        <v>102</v>
      </c>
    </row>
    <row r="40" ht="13.7" spans="1:5">
      <c r="A40" s="6">
        <v>39</v>
      </c>
      <c r="B40" s="5" t="s">
        <v>144</v>
      </c>
      <c r="C40" s="5" t="s">
        <v>145</v>
      </c>
      <c r="D40" s="5">
        <v>50000</v>
      </c>
      <c r="E40" s="5">
        <v>42500</v>
      </c>
    </row>
    <row r="41" ht="13.7" spans="1:5">
      <c r="A41" s="6">
        <v>40</v>
      </c>
      <c r="B41" s="5" t="s">
        <v>146</v>
      </c>
      <c r="C41" s="5" t="s">
        <v>111</v>
      </c>
      <c r="D41" s="5">
        <v>7500</v>
      </c>
      <c r="E41" s="5">
        <v>6375</v>
      </c>
    </row>
    <row r="42" ht="13.7" spans="1:5">
      <c r="A42" s="6">
        <v>41</v>
      </c>
      <c r="B42" s="5" t="s">
        <v>120</v>
      </c>
      <c r="C42" s="5" t="s">
        <v>122</v>
      </c>
      <c r="D42" s="5">
        <v>40</v>
      </c>
      <c r="E42" s="5">
        <v>40</v>
      </c>
    </row>
    <row r="43" ht="13.7" spans="1:5">
      <c r="A43" s="6">
        <v>42</v>
      </c>
      <c r="B43" s="5" t="s">
        <v>124</v>
      </c>
      <c r="C43" s="5" t="s">
        <v>126</v>
      </c>
      <c r="D43" s="5">
        <v>13.6</v>
      </c>
      <c r="E43" s="5">
        <v>13.6</v>
      </c>
    </row>
    <row r="44" ht="13.7" spans="1:5">
      <c r="A44" s="6">
        <v>43</v>
      </c>
      <c r="B44" s="5" t="s">
        <v>127</v>
      </c>
      <c r="C44" s="5" t="s">
        <v>126</v>
      </c>
      <c r="D44" s="5">
        <v>17</v>
      </c>
      <c r="E44" s="5">
        <v>17</v>
      </c>
    </row>
    <row r="45" ht="13.7" spans="1:5">
      <c r="A45" s="6">
        <v>44</v>
      </c>
      <c r="B45" s="5" t="s">
        <v>128</v>
      </c>
      <c r="C45" s="5" t="s">
        <v>126</v>
      </c>
      <c r="D45" s="5">
        <v>25.5</v>
      </c>
      <c r="E45" s="5">
        <v>25.5</v>
      </c>
    </row>
    <row r="46" ht="41.15" spans="1:5">
      <c r="A46" s="6">
        <v>45</v>
      </c>
      <c r="B46" s="5" t="s">
        <v>130</v>
      </c>
      <c r="C46" s="5" t="s">
        <v>132</v>
      </c>
      <c r="D46" s="5">
        <v>40000</v>
      </c>
      <c r="E46" s="5">
        <v>34000</v>
      </c>
    </row>
    <row r="47" ht="13.7" spans="1:5">
      <c r="A47" s="6">
        <v>46</v>
      </c>
      <c r="B47" s="5" t="s">
        <v>133</v>
      </c>
      <c r="C47" s="5" t="s">
        <v>135</v>
      </c>
      <c r="D47" s="5">
        <v>15000</v>
      </c>
      <c r="E47" s="5">
        <v>12750</v>
      </c>
    </row>
    <row r="48" ht="13.7" spans="1:5">
      <c r="A48" s="6">
        <v>47</v>
      </c>
      <c r="B48" s="5" t="s">
        <v>136</v>
      </c>
      <c r="C48" s="5" t="s">
        <v>135</v>
      </c>
      <c r="D48" s="5">
        <v>12600</v>
      </c>
      <c r="E48" s="5">
        <v>10710</v>
      </c>
    </row>
  </sheetData>
  <dataValidations count="2">
    <dataValidation type="list" allowBlank="1" showInputMessage="1" showErrorMessage="1" sqref="B1 B38:B1048576">
      <formula1>#REF!</formula1>
    </dataValidation>
    <dataValidation type="list" allowBlank="1" showInputMessage="1" showErrorMessage="1" sqref="B2:B37">
      <formula1>服务目录!$B:$B</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服务目录</vt:lpstr>
      <vt:lpstr>折后价格表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18182251068@189.cn</dc:creator>
  <cp:lastModifiedBy>YiiMeng</cp:lastModifiedBy>
  <dcterms:created xsi:type="dcterms:W3CDTF">2024-06-22T06:17:00Z</dcterms:created>
  <dcterms:modified xsi:type="dcterms:W3CDTF">2025-11-26T15:02:53Z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2052-12.8.2.1119</vt:lpwstr>
  </property>
  <property fmtid="{D5CDD505-2E9C-101B-9397-08002B2CF9AE}" pid="3" name="ICV">
    <vt:lpwstr>BECD2232F79A4A16AFF8EB590A9CA6BE_13</vt:lpwstr>
  </property>
</Properties>
</file>